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3.Quảng cáo theo ngà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<sst xmlns="http://schemas.openxmlformats.org/spreadsheetml/2006/main" count="183" uniqueCount="59">
  <si>
    <t>Thứ tự</t>
  </si>
  <si>
    <t>Tên Dịch vụ Hiển thị</t>
  </si>
  <si>
    <t>Trạng thái</t>
  </si>
  <si>
    <t>Loại Dịch vụ Hiển thị</t>
  </si>
  <si>
    <t>Mã sản phẩm</t>
  </si>
  <si>
    <t>Nội dung Dịch vụ Hiển thị</t>
  </si>
  <si>
    <t>Phương thức đấu thầu</t>
  </si>
  <si>
    <t>Vị trí</t>
  </si>
  <si>
    <t>Ngày bắt đầu</t>
  </si>
  <si>
    <t>Ngày kết thúc</t>
  </si>
  <si>
    <t>Số lượt xem</t>
  </si>
  <si>
    <t>Số lượt click</t>
  </si>
  <si>
    <t>Tỷ Lệ Click</t>
  </si>
  <si>
    <t>Lượt chuyển đổi</t>
  </si>
  <si>
    <t>Lượt chuyển đổi trực tiếp</t>
  </si>
  <si>
    <t>Tỷ lệ chuyển đổi</t>
  </si>
  <si>
    <t>Tỷ lệ chuyển đổi trực tiếp</t>
  </si>
  <si>
    <t>Chi phí cho mỗi lượt chuyển đổi</t>
  </si>
  <si>
    <t>Chi phí cho mỗi lượt chuyển đổi trực tiếp</t>
  </si>
  <si>
    <t>Sản phẩm đã bán</t>
  </si>
  <si>
    <t>Sản phẩm đã bán trực tiếp</t>
  </si>
  <si>
    <t>Doanh số</t>
  </si>
  <si>
    <t>Doanh số trực tiếp</t>
  </si>
  <si>
    <t>Chi phí</t>
  </si>
  <si>
    <t>ROAS</t>
  </si>
  <si>
    <t>ROAS trực tiếp</t>
  </si>
  <si>
    <t>ACOS</t>
  </si>
  <si>
    <t>ACOS trực tiếp</t>
  </si>
  <si>
    <t>Lượt xem Sản phẩm</t>
  </si>
  <si>
    <t>Lượt clicks Sản phẩm</t>
  </si>
  <si>
    <t>Tỷ lệ Click Sản phẩm</t>
  </si>
  <si>
    <t>Voucher Amount</t>
  </si>
  <si>
    <t>Vouchered Sales</t>
  </si>
  <si>
    <t>Shop GMV Max</t>
  </si>
  <si>
    <t>Đang diễn ra</t>
  </si>
  <si>
    <t>-</t>
  </si>
  <si>
    <t>GMV Max Auto Bidding (Shop)</t>
  </si>
  <si>
    <t>Tất cả</t>
  </si>
  <si>
    <t>Không giới hạn</t>
  </si>
  <si>
    <t>Shopmall</t>
  </si>
  <si>
    <t>Sữa Tắm 4 in 1 Nam 92% Thiên Nhiên Le Petit Marseillais Nhiều Mùi Hương 250ml [3]</t>
  </si>
  <si>
    <t>Dịch vụ Hiển thị Sản phẩm</t>
  </si>
  <si>
    <t>Tối đa Doanh thu Tùy chỉnh ROAS</t>
  </si>
  <si>
    <t>Sữa Tắm Thơm Lâu Le Petit Marseillais Gel 92% Thiên Nhiên Da Nhạy Cảm Nhiều Mùi Hương 650ml [4]</t>
  </si>
  <si>
    <t>Dầu Gội Thiên Nhiên Le Petit Marseillais Hữu Cơ Nhiều Mùi Hương 250ml [2]</t>
  </si>
  <si>
    <t>Sữa Tắm Hoa Anh Đào Hữu Cơ Le Petit Marseillais  92% Thiên Nhiên Dịu Nhẹ 650ml 0755</t>
  </si>
  <si>
    <t>Dầu Gội Trẻ Em 2in1 94% Thiên Nhiên Le Petit Marseillais Giúp Gỡ Rối Tóc Nhiều Mùi Hương 300ml</t>
  </si>
  <si>
    <t>Sữa Tắm Dưỡng Ẩm 98% Thiên Nhiên Le Petit Marseillais Hữu Cơ Nhiều Mùi Hương Thơm 400ml [3]</t>
  </si>
  <si>
    <t>Sữa Tắm Thiên Nhiên 92% Le Petit Marseillais Nhiều Mùi Hương 250ml [5]</t>
  </si>
  <si>
    <t>Gel Tắm Hữu Cơ BIO 98% Thiên Nhiên Le Petit Marseillais Nhiều Mùi Hương 250ml [2]</t>
  </si>
  <si>
    <t>Sữa Tắm Thơm Lâu 92% Thiên Nhiên Le Petit Marseillais Dịu Nhẹ Đào Trắng Hữu Cơ Và Xuân Đào Hữu Cơ 250ml 1240</t>
  </si>
  <si>
    <t>Dầu Gội Thiên Nhiên Le Petit Marseillais Hữu Cơ Nhiều Mùi Hương 300ml [2]</t>
  </si>
  <si>
    <t>Kem Dưỡng Tay 24h Thiên Nhiên Le Petit Marseillais Nhiều Mùi Hương 75ml [2]</t>
  </si>
  <si>
    <t>Đã dừng</t>
  </si>
  <si>
    <t>Dầu Xả Dưỡng Ẩm 95% Thiên Nhiên Le Petit Marseillais Chiết Xuất Dừa Hữu Cơ 200ml 4752</t>
  </si>
  <si>
    <t>Quảng cáo Shop</t>
  </si>
  <si>
    <t>Dịch vụ Hiển thị Shop</t>
  </si>
  <si>
    <t>Tùy chỉnh</t>
  </si>
  <si>
    <t>Giá thầu Thủ công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</si>
</sst>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176" formatCode="_(* #,##0.00_);_(* \(#,##0.00\);_(* &quot;-&quot;??_);_(@_)"/>
    <numFmt numFmtId="177" formatCode="_(* #,##0_);_(* \(#,##0\);_(* &quot;-&quot;??_);_(@_)"/>
    <numFmt numFmtId="178" formatCode="dd\-mmm"/>
  </numFmts>
  <fonts count="22">
    <font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/>
    <xf numFmtId="177" fontId="0" fillId="0" borderId="0" xfId="1" applyNumberFormat="1" applyFont="1"/>
    <xf numFmtId="177" fontId="0" fillId="2" borderId="0" xfId="1" applyNumberFormat="1" applyFont="1" applyFill="1"/>
    <xf numFmtId="0" fontId="0" fillId="2" borderId="0" xfId="0" applyFill="1"/>
    <xf numFmtId="0" fontId="1" fillId="0" borderId="0" xfId="0" applyFont="1" applyFill="1" applyAlignment="1"/>
    <xf numFmtId="177" fontId="1" fillId="0" borderId="0" xfId="1" applyNumberFormat="1" applyFont="1"/>
    <xf numFmtId="177" fontId="1" fillId="2" borderId="0" xfId="1" applyNumberFormat="1" applyFont="1" applyFill="1"/>
    <xf numFmtId="22" fontId="0" fillId="0" borderId="0" xfId="0" applyNumberFormat="1"/>
    <xf numFmtId="10" fontId="0" fillId="0" borderId="0" xfId="0" applyNumberFormat="1"/>
    <xf numFmtId="178" fontId="0" fillId="2" borderId="0" xfId="0" applyNumberFormat="1" applyFill="1"/>
    <xf numFmtId="176" fontId="0" fillId="2" borderId="0" xfId="0" applyNumberForma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72"/>
  <sheetViews>
    <sheetView tabSelected="1" workbookViewId="0">
      <pane xSplit="7" ySplit="3" topLeftCell="W4" activePane="bottomRight" state="frozen"/>
      <selection/>
      <selection pane="topRight"/>
      <selection pane="bottomLeft"/>
      <selection pane="bottomRight" activeCell="AF22" sqref="AF22"/>
    </sheetView>
  </sheetViews>
  <sheetFormatPr defaultColWidth="9" defaultRowHeight="14.4"/>
  <cols>
    <col min="5" max="5" width="12.8888888888889"/>
    <col min="9" max="10" width="17"/>
    <col min="18" max="18" width="21.8518518518519" customWidth="1"/>
    <col min="19" max="19" width="10.6666666666667"/>
    <col min="22" max="22" width="13.287037037037" style="1" customWidth="1"/>
    <col min="24" max="24" width="13.287037037037" style="2" customWidth="1"/>
    <col min="34" max="35" width="9.13888888888889" style="3"/>
    <col min="36" max="36" width="14.287037037037" style="3" customWidth="1"/>
    <col min="37" max="37" width="14.287037037037" customWidth="1"/>
  </cols>
  <sheetData>
    <row r="1" spans="1:3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4" t="s">
        <v>22</v>
      </c>
      <c r="X1" s="6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</row>
    <row r="2" spans="1:36">
      <c r="A2">
        <v>1</v>
      </c>
      <c r="B2" t="s">
        <v>33</v>
      </c>
      <c r="C2" t="s">
        <v>34</v>
      </c>
      <c r="E2" t="s">
        <v>35</v>
      </c>
      <c r="F2" t="s">
        <v>35</v>
      </c>
      <c r="G2" t="s">
        <v>36</v>
      </c>
      <c r="H2" t="s">
        <v>37</v>
      </c>
      <c r="I2" s="7">
        <v>46057</v>
      </c>
      <c r="J2" t="s">
        <v>38</v>
      </c>
      <c r="K2">
        <v>19404</v>
      </c>
      <c r="L2">
        <v>611</v>
      </c>
      <c r="M2" s="8">
        <v>0.0315</v>
      </c>
      <c r="N2">
        <v>51</v>
      </c>
      <c r="O2">
        <v>18</v>
      </c>
      <c r="P2" s="8">
        <v>0.0835</v>
      </c>
      <c r="Q2" s="8">
        <v>0.0295</v>
      </c>
      <c r="R2">
        <v>15444.15</v>
      </c>
      <c r="S2">
        <v>43758.43</v>
      </c>
      <c r="T2">
        <v>51</v>
      </c>
      <c r="U2">
        <v>18</v>
      </c>
      <c r="V2">
        <v>6364868</v>
      </c>
      <c r="W2">
        <v>5199080</v>
      </c>
      <c r="X2">
        <v>787652</v>
      </c>
      <c r="Y2">
        <v>8.08</v>
      </c>
      <c r="Z2">
        <v>6.6</v>
      </c>
      <c r="AA2" s="8">
        <v>0.1237</v>
      </c>
      <c r="AB2" s="8">
        <v>0.1515</v>
      </c>
      <c r="AC2" t="s">
        <v>35</v>
      </c>
      <c r="AD2" t="s">
        <v>35</v>
      </c>
      <c r="AE2" t="s">
        <v>35</v>
      </c>
      <c r="AF2">
        <v>365550</v>
      </c>
      <c r="AG2">
        <v>2560000</v>
      </c>
      <c r="AH2" s="9">
        <v>46124</v>
      </c>
      <c r="AI2" s="3" t="s">
        <v>39</v>
      </c>
      <c r="AJ2" s="10">
        <f t="shared" ref="AJ2:AJ15" si="0">X2*1.08</f>
        <v>850664.16</v>
      </c>
    </row>
    <row r="3" outlineLevel="1" spans="1:36">
      <c r="A3">
        <v>2</v>
      </c>
      <c r="B3" t="s">
        <v>40</v>
      </c>
      <c r="C3" t="s">
        <v>34</v>
      </c>
      <c r="D3" t="s">
        <v>41</v>
      </c>
      <c r="E3">
        <v>25692866155</v>
      </c>
      <c r="F3" t="s">
        <v>35</v>
      </c>
      <c r="G3" t="s">
        <v>42</v>
      </c>
      <c r="H3" t="s">
        <v>37</v>
      </c>
      <c r="I3" s="7">
        <v>45909</v>
      </c>
      <c r="J3" t="s">
        <v>38</v>
      </c>
      <c r="K3">
        <v>11158</v>
      </c>
      <c r="L3">
        <v>189</v>
      </c>
      <c r="M3" s="8">
        <v>0.0169</v>
      </c>
      <c r="N3">
        <v>29</v>
      </c>
      <c r="O3">
        <v>17</v>
      </c>
      <c r="P3" s="8">
        <v>0.1534</v>
      </c>
      <c r="Q3" s="8">
        <v>0.0899</v>
      </c>
      <c r="R3">
        <v>21112.62</v>
      </c>
      <c r="S3">
        <v>36015.65</v>
      </c>
      <c r="T3">
        <v>35</v>
      </c>
      <c r="U3">
        <v>23</v>
      </c>
      <c r="V3">
        <v>4324845</v>
      </c>
      <c r="W3">
        <v>4324845</v>
      </c>
      <c r="X3">
        <v>612266</v>
      </c>
      <c r="Y3">
        <v>7.06</v>
      </c>
      <c r="Z3">
        <v>7.06</v>
      </c>
      <c r="AA3" s="8">
        <v>0.1416</v>
      </c>
      <c r="AB3" s="8">
        <v>0.1416</v>
      </c>
      <c r="AC3" t="s">
        <v>35</v>
      </c>
      <c r="AD3" t="s">
        <v>35</v>
      </c>
      <c r="AE3" t="s">
        <v>35</v>
      </c>
      <c r="AF3">
        <v>14074</v>
      </c>
      <c r="AG3">
        <v>194000</v>
      </c>
      <c r="AH3" s="9">
        <v>46124</v>
      </c>
      <c r="AI3" s="3" t="s">
        <v>39</v>
      </c>
      <c r="AJ3" s="10">
        <f t="shared" si="0"/>
        <v>661247.28</v>
      </c>
    </row>
    <row r="4" outlineLevel="1" spans="1:36">
      <c r="A4">
        <v>3</v>
      </c>
      <c r="B4" t="s">
        <v>43</v>
      </c>
      <c r="C4" t="s">
        <v>34</v>
      </c>
      <c r="D4" t="s">
        <v>41</v>
      </c>
      <c r="E4">
        <v>24142870859</v>
      </c>
      <c r="F4" t="s">
        <v>35</v>
      </c>
      <c r="G4" t="s">
        <v>42</v>
      </c>
      <c r="H4" t="s">
        <v>37</v>
      </c>
      <c r="I4" s="7">
        <v>46002</v>
      </c>
      <c r="J4" t="s">
        <v>38</v>
      </c>
      <c r="K4">
        <v>5942</v>
      </c>
      <c r="L4">
        <v>185</v>
      </c>
      <c r="M4" s="8">
        <v>0.0311</v>
      </c>
      <c r="N4">
        <v>38</v>
      </c>
      <c r="O4">
        <v>21</v>
      </c>
      <c r="P4" s="8">
        <v>0.2054</v>
      </c>
      <c r="Q4" s="8">
        <v>0.1135</v>
      </c>
      <c r="R4">
        <v>23148.64</v>
      </c>
      <c r="S4">
        <v>41888.02</v>
      </c>
      <c r="T4">
        <v>38</v>
      </c>
      <c r="U4">
        <v>21</v>
      </c>
      <c r="V4">
        <v>6937746</v>
      </c>
      <c r="W4">
        <v>6937746</v>
      </c>
      <c r="X4">
        <v>879648</v>
      </c>
      <c r="Y4">
        <v>7.89</v>
      </c>
      <c r="Z4">
        <v>7.89</v>
      </c>
      <c r="AA4" s="8">
        <v>0.1268</v>
      </c>
      <c r="AB4" s="8">
        <v>0.1268</v>
      </c>
      <c r="AC4" t="s">
        <v>35</v>
      </c>
      <c r="AD4" t="s">
        <v>35</v>
      </c>
      <c r="AE4" t="s">
        <v>35</v>
      </c>
      <c r="AF4">
        <v>107402</v>
      </c>
      <c r="AG4">
        <v>704000</v>
      </c>
      <c r="AH4" s="9">
        <v>46124</v>
      </c>
      <c r="AI4" s="3" t="s">
        <v>39</v>
      </c>
      <c r="AJ4" s="10">
        <f t="shared" si="0"/>
        <v>950019.84</v>
      </c>
    </row>
    <row r="5" outlineLevel="1" spans="1:36">
      <c r="A5">
        <v>4</v>
      </c>
      <c r="B5" t="s">
        <v>44</v>
      </c>
      <c r="C5" t="s">
        <v>34</v>
      </c>
      <c r="D5" t="s">
        <v>41</v>
      </c>
      <c r="E5">
        <v>29680365284</v>
      </c>
      <c r="F5" t="s">
        <v>35</v>
      </c>
      <c r="G5" t="s">
        <v>42</v>
      </c>
      <c r="H5" t="s">
        <v>37</v>
      </c>
      <c r="I5" s="7">
        <v>46002</v>
      </c>
      <c r="J5" t="s">
        <v>38</v>
      </c>
      <c r="K5">
        <v>4478</v>
      </c>
      <c r="L5">
        <v>114</v>
      </c>
      <c r="M5" s="8">
        <v>0.0255</v>
      </c>
      <c r="N5">
        <v>15</v>
      </c>
      <c r="O5">
        <v>10</v>
      </c>
      <c r="P5" s="8">
        <v>0.1316</v>
      </c>
      <c r="Q5" s="8">
        <v>0.0877</v>
      </c>
      <c r="R5">
        <v>28874.27</v>
      </c>
      <c r="S5">
        <v>43311.4</v>
      </c>
      <c r="T5">
        <v>15</v>
      </c>
      <c r="U5">
        <v>10</v>
      </c>
      <c r="V5">
        <v>2322490</v>
      </c>
      <c r="W5">
        <v>2322490</v>
      </c>
      <c r="X5">
        <v>433114</v>
      </c>
      <c r="Y5">
        <v>5.36</v>
      </c>
      <c r="Z5">
        <v>5.36</v>
      </c>
      <c r="AA5" s="8">
        <v>0.1865</v>
      </c>
      <c r="AB5" s="8">
        <v>0.1865</v>
      </c>
      <c r="AC5" t="s">
        <v>35</v>
      </c>
      <c r="AD5" t="s">
        <v>35</v>
      </c>
      <c r="AE5" t="s">
        <v>35</v>
      </c>
      <c r="AF5">
        <v>243501</v>
      </c>
      <c r="AG5">
        <v>1165000</v>
      </c>
      <c r="AH5" s="9">
        <v>46124</v>
      </c>
      <c r="AI5" s="3" t="s">
        <v>39</v>
      </c>
      <c r="AJ5" s="10">
        <f t="shared" si="0"/>
        <v>467763.12</v>
      </c>
    </row>
    <row r="6" outlineLevel="1" spans="1:36">
      <c r="A6">
        <v>5</v>
      </c>
      <c r="B6" t="s">
        <v>45</v>
      </c>
      <c r="C6" t="s">
        <v>34</v>
      </c>
      <c r="D6" t="s">
        <v>41</v>
      </c>
      <c r="E6">
        <v>28227402194</v>
      </c>
      <c r="F6" t="s">
        <v>35</v>
      </c>
      <c r="G6" t="s">
        <v>42</v>
      </c>
      <c r="H6" t="s">
        <v>37</v>
      </c>
      <c r="I6" s="7">
        <v>45809</v>
      </c>
      <c r="J6" t="s">
        <v>38</v>
      </c>
      <c r="K6">
        <v>1658</v>
      </c>
      <c r="L6">
        <v>53</v>
      </c>
      <c r="M6" s="8">
        <v>0.032</v>
      </c>
      <c r="N6">
        <v>5</v>
      </c>
      <c r="O6">
        <v>3</v>
      </c>
      <c r="P6" s="8">
        <v>0.0943</v>
      </c>
      <c r="Q6" s="8">
        <v>0.0566</v>
      </c>
      <c r="R6">
        <v>43804.42</v>
      </c>
      <c r="S6">
        <v>73007.37</v>
      </c>
      <c r="T6">
        <v>5</v>
      </c>
      <c r="U6">
        <v>3</v>
      </c>
      <c r="V6">
        <v>1020000</v>
      </c>
      <c r="W6">
        <v>1020000</v>
      </c>
      <c r="X6">
        <v>219022</v>
      </c>
      <c r="Y6">
        <v>4.66</v>
      </c>
      <c r="Z6">
        <v>4.66</v>
      </c>
      <c r="AA6" s="8">
        <v>0.2147</v>
      </c>
      <c r="AB6" s="8">
        <v>0.2147</v>
      </c>
      <c r="AC6" t="s">
        <v>35</v>
      </c>
      <c r="AD6" t="s">
        <v>35</v>
      </c>
      <c r="AE6" t="s">
        <v>35</v>
      </c>
      <c r="AF6">
        <v>185536</v>
      </c>
      <c r="AG6">
        <v>1020000</v>
      </c>
      <c r="AH6" s="9">
        <v>46124</v>
      </c>
      <c r="AI6" s="3" t="s">
        <v>39</v>
      </c>
      <c r="AJ6" s="10">
        <f t="shared" si="0"/>
        <v>236543.76</v>
      </c>
    </row>
    <row r="7" outlineLevel="1" spans="1:36">
      <c r="A7">
        <v>6</v>
      </c>
      <c r="B7" t="s">
        <v>46</v>
      </c>
      <c r="C7" t="s">
        <v>34</v>
      </c>
      <c r="D7" t="s">
        <v>41</v>
      </c>
      <c r="E7">
        <v>27586430985</v>
      </c>
      <c r="F7" t="s">
        <v>35</v>
      </c>
      <c r="G7" t="s">
        <v>42</v>
      </c>
      <c r="H7" t="s">
        <v>37</v>
      </c>
      <c r="I7" s="7">
        <v>45853</v>
      </c>
      <c r="J7" t="s">
        <v>38</v>
      </c>
      <c r="K7">
        <v>1610</v>
      </c>
      <c r="L7">
        <v>60</v>
      </c>
      <c r="M7" s="8">
        <v>0.0373</v>
      </c>
      <c r="N7">
        <v>6</v>
      </c>
      <c r="O7">
        <v>5</v>
      </c>
      <c r="P7" s="8">
        <v>0.1</v>
      </c>
      <c r="Q7" s="8">
        <v>0.0833</v>
      </c>
      <c r="R7">
        <v>32278.89</v>
      </c>
      <c r="S7">
        <v>38734.67</v>
      </c>
      <c r="T7">
        <v>7</v>
      </c>
      <c r="U7">
        <v>6</v>
      </c>
      <c r="V7">
        <v>1688173</v>
      </c>
      <c r="W7">
        <v>1688173</v>
      </c>
      <c r="X7">
        <v>193673</v>
      </c>
      <c r="Y7">
        <v>8.72</v>
      </c>
      <c r="Z7">
        <v>8.72</v>
      </c>
      <c r="AA7" s="8">
        <v>0.1147</v>
      </c>
      <c r="AB7" s="8">
        <v>0.1147</v>
      </c>
      <c r="AC7" t="s">
        <v>35</v>
      </c>
      <c r="AD7" t="s">
        <v>35</v>
      </c>
      <c r="AE7" t="s">
        <v>35</v>
      </c>
      <c r="AF7">
        <v>0</v>
      </c>
      <c r="AG7">
        <v>0</v>
      </c>
      <c r="AH7" s="9">
        <v>46124</v>
      </c>
      <c r="AI7" s="3" t="s">
        <v>39</v>
      </c>
      <c r="AJ7" s="10">
        <f t="shared" si="0"/>
        <v>209166.84</v>
      </c>
    </row>
    <row r="8" outlineLevel="1" spans="1:36">
      <c r="A8">
        <v>7</v>
      </c>
      <c r="B8" t="s">
        <v>47</v>
      </c>
      <c r="C8" t="s">
        <v>34</v>
      </c>
      <c r="D8" t="s">
        <v>41</v>
      </c>
      <c r="E8">
        <v>27730151664</v>
      </c>
      <c r="F8" t="s">
        <v>35</v>
      </c>
      <c r="G8" t="s">
        <v>42</v>
      </c>
      <c r="H8" t="s">
        <v>37</v>
      </c>
      <c r="I8" s="7">
        <v>46002</v>
      </c>
      <c r="J8" t="s">
        <v>38</v>
      </c>
      <c r="K8">
        <v>1310</v>
      </c>
      <c r="L8">
        <v>20</v>
      </c>
      <c r="M8" s="8">
        <v>0.0153</v>
      </c>
      <c r="N8">
        <v>5</v>
      </c>
      <c r="O8">
        <v>2</v>
      </c>
      <c r="P8" s="8">
        <v>0.25</v>
      </c>
      <c r="Q8" s="8">
        <v>0.1</v>
      </c>
      <c r="R8">
        <v>19984.05</v>
      </c>
      <c r="S8">
        <v>49960.13</v>
      </c>
      <c r="T8">
        <v>5</v>
      </c>
      <c r="U8">
        <v>2</v>
      </c>
      <c r="V8">
        <v>776180</v>
      </c>
      <c r="W8">
        <v>588000</v>
      </c>
      <c r="X8">
        <v>99920</v>
      </c>
      <c r="Y8">
        <v>7.77</v>
      </c>
      <c r="Z8">
        <v>5.88</v>
      </c>
      <c r="AA8" s="8">
        <v>0.1287</v>
      </c>
      <c r="AB8" s="8">
        <v>0.1699</v>
      </c>
      <c r="AC8" t="s">
        <v>35</v>
      </c>
      <c r="AD8" t="s">
        <v>35</v>
      </c>
      <c r="AE8" t="s">
        <v>35</v>
      </c>
      <c r="AF8">
        <v>0</v>
      </c>
      <c r="AG8">
        <v>0</v>
      </c>
      <c r="AH8" s="9">
        <v>46124</v>
      </c>
      <c r="AI8" s="3" t="s">
        <v>39</v>
      </c>
      <c r="AJ8" s="10">
        <f t="shared" si="0"/>
        <v>107913.6</v>
      </c>
    </row>
    <row r="9" outlineLevel="1" spans="1:36">
      <c r="A9">
        <v>8</v>
      </c>
      <c r="B9" t="s">
        <v>48</v>
      </c>
      <c r="C9" t="s">
        <v>34</v>
      </c>
      <c r="D9" t="s">
        <v>41</v>
      </c>
      <c r="E9">
        <v>29480146096</v>
      </c>
      <c r="F9" t="s">
        <v>35</v>
      </c>
      <c r="G9" t="s">
        <v>42</v>
      </c>
      <c r="H9" t="s">
        <v>37</v>
      </c>
      <c r="I9" s="7">
        <v>46002</v>
      </c>
      <c r="J9" t="s">
        <v>38</v>
      </c>
      <c r="K9">
        <v>1296</v>
      </c>
      <c r="L9">
        <v>50</v>
      </c>
      <c r="M9" s="8">
        <v>0.0386</v>
      </c>
      <c r="N9">
        <v>4</v>
      </c>
      <c r="O9">
        <v>1</v>
      </c>
      <c r="P9" s="8">
        <v>0.08</v>
      </c>
      <c r="Q9" s="8">
        <v>0.02</v>
      </c>
      <c r="R9">
        <v>26092.53</v>
      </c>
      <c r="S9">
        <v>104370.1</v>
      </c>
      <c r="T9">
        <v>4</v>
      </c>
      <c r="U9">
        <v>1</v>
      </c>
      <c r="V9">
        <v>531000</v>
      </c>
      <c r="W9">
        <v>194000</v>
      </c>
      <c r="X9">
        <v>104370</v>
      </c>
      <c r="Y9">
        <v>5.09</v>
      </c>
      <c r="Z9">
        <v>1.86</v>
      </c>
      <c r="AA9" s="8">
        <v>0.1966</v>
      </c>
      <c r="AB9" s="8">
        <v>0.538</v>
      </c>
      <c r="AC9" t="s">
        <v>35</v>
      </c>
      <c r="AD9" t="s">
        <v>35</v>
      </c>
      <c r="AE9" t="s">
        <v>35</v>
      </c>
      <c r="AF9">
        <v>0</v>
      </c>
      <c r="AG9">
        <v>0</v>
      </c>
      <c r="AH9" s="9">
        <v>46124</v>
      </c>
      <c r="AI9" s="3" t="s">
        <v>39</v>
      </c>
      <c r="AJ9" s="10">
        <f t="shared" si="0"/>
        <v>112719.6</v>
      </c>
    </row>
    <row r="10" outlineLevel="1" spans="1:36">
      <c r="A10">
        <v>9</v>
      </c>
      <c r="B10" t="s">
        <v>49</v>
      </c>
      <c r="C10" t="s">
        <v>34</v>
      </c>
      <c r="D10" t="s">
        <v>41</v>
      </c>
      <c r="E10">
        <v>28980146591</v>
      </c>
      <c r="F10" t="s">
        <v>35</v>
      </c>
      <c r="G10" t="s">
        <v>42</v>
      </c>
      <c r="H10" t="s">
        <v>37</v>
      </c>
      <c r="I10" s="7">
        <v>46002</v>
      </c>
      <c r="J10" t="s">
        <v>38</v>
      </c>
      <c r="K10">
        <v>1269</v>
      </c>
      <c r="L10">
        <v>29</v>
      </c>
      <c r="M10" s="8">
        <v>0.0229</v>
      </c>
      <c r="N10">
        <v>6</v>
      </c>
      <c r="O10">
        <v>4</v>
      </c>
      <c r="P10" s="8">
        <v>0.2069</v>
      </c>
      <c r="Q10" s="8">
        <v>0.1379</v>
      </c>
      <c r="R10">
        <v>16666.67</v>
      </c>
      <c r="S10">
        <v>25000</v>
      </c>
      <c r="T10">
        <v>6</v>
      </c>
      <c r="U10">
        <v>4</v>
      </c>
      <c r="V10">
        <v>911438</v>
      </c>
      <c r="W10">
        <v>911438</v>
      </c>
      <c r="X10">
        <v>100000</v>
      </c>
      <c r="Y10">
        <v>9.11</v>
      </c>
      <c r="Z10">
        <v>9.11</v>
      </c>
      <c r="AA10" s="8">
        <v>0.1097</v>
      </c>
      <c r="AB10" s="8">
        <v>0.1097</v>
      </c>
      <c r="AC10" t="s">
        <v>35</v>
      </c>
      <c r="AD10" t="s">
        <v>35</v>
      </c>
      <c r="AE10" t="s">
        <v>35</v>
      </c>
      <c r="AF10">
        <v>43642</v>
      </c>
      <c r="AG10">
        <v>194000</v>
      </c>
      <c r="AH10" s="9">
        <v>46124</v>
      </c>
      <c r="AI10" s="3" t="s">
        <v>39</v>
      </c>
      <c r="AJ10" s="10">
        <f t="shared" si="0"/>
        <v>108000</v>
      </c>
    </row>
    <row r="11" outlineLevel="1" spans="1:36">
      <c r="A11">
        <v>10</v>
      </c>
      <c r="B11" t="s">
        <v>50</v>
      </c>
      <c r="C11" t="s">
        <v>34</v>
      </c>
      <c r="D11" t="s">
        <v>41</v>
      </c>
      <c r="E11">
        <v>26278578077</v>
      </c>
      <c r="F11" t="s">
        <v>35</v>
      </c>
      <c r="G11" t="s">
        <v>42</v>
      </c>
      <c r="H11" t="s">
        <v>37</v>
      </c>
      <c r="I11" s="7">
        <v>45810</v>
      </c>
      <c r="J11" t="s">
        <v>38</v>
      </c>
      <c r="K11">
        <v>1074</v>
      </c>
      <c r="L11">
        <v>21</v>
      </c>
      <c r="M11" s="8">
        <v>0.0196</v>
      </c>
      <c r="N11">
        <v>6</v>
      </c>
      <c r="O11">
        <v>3</v>
      </c>
      <c r="P11" s="8">
        <v>0.2857</v>
      </c>
      <c r="Q11" s="8">
        <v>0.1429</v>
      </c>
      <c r="R11">
        <v>12650.95</v>
      </c>
      <c r="S11">
        <v>25301.89</v>
      </c>
      <c r="T11">
        <v>6</v>
      </c>
      <c r="U11">
        <v>3</v>
      </c>
      <c r="V11">
        <v>568180</v>
      </c>
      <c r="W11">
        <v>568180</v>
      </c>
      <c r="X11">
        <v>75906</v>
      </c>
      <c r="Y11">
        <v>7.49</v>
      </c>
      <c r="Z11">
        <v>7.49</v>
      </c>
      <c r="AA11" s="8">
        <v>0.1336</v>
      </c>
      <c r="AB11" s="8">
        <v>0.1336</v>
      </c>
      <c r="AC11" t="s">
        <v>35</v>
      </c>
      <c r="AD11" t="s">
        <v>35</v>
      </c>
      <c r="AE11" t="s">
        <v>35</v>
      </c>
      <c r="AF11">
        <v>21122</v>
      </c>
      <c r="AG11">
        <v>194000</v>
      </c>
      <c r="AH11" s="9">
        <v>46124</v>
      </c>
      <c r="AI11" s="3" t="s">
        <v>39</v>
      </c>
      <c r="AJ11" s="10">
        <f t="shared" si="0"/>
        <v>81978.48</v>
      </c>
    </row>
    <row r="12" outlineLevel="1" spans="1:36">
      <c r="A12">
        <v>11</v>
      </c>
      <c r="B12" t="s">
        <v>51</v>
      </c>
      <c r="C12" t="s">
        <v>34</v>
      </c>
      <c r="D12" t="s">
        <v>41</v>
      </c>
      <c r="E12">
        <v>28830365069</v>
      </c>
      <c r="F12" t="s">
        <v>35</v>
      </c>
      <c r="G12" t="s">
        <v>42</v>
      </c>
      <c r="H12" t="s">
        <v>37</v>
      </c>
      <c r="I12" s="7">
        <v>46002</v>
      </c>
      <c r="J12" t="s">
        <v>38</v>
      </c>
      <c r="K12">
        <v>514</v>
      </c>
      <c r="L12">
        <v>13</v>
      </c>
      <c r="M12" s="8">
        <v>0.0253</v>
      </c>
      <c r="N12">
        <v>2</v>
      </c>
      <c r="O12">
        <v>0</v>
      </c>
      <c r="P12" s="8">
        <v>0.1538</v>
      </c>
      <c r="Q12" s="8">
        <v>0</v>
      </c>
      <c r="R12">
        <v>11591.8</v>
      </c>
      <c r="S12">
        <v>0</v>
      </c>
      <c r="T12">
        <v>2</v>
      </c>
      <c r="U12">
        <v>0</v>
      </c>
      <c r="V12">
        <v>0</v>
      </c>
      <c r="W12">
        <v>0</v>
      </c>
      <c r="X12">
        <v>23184</v>
      </c>
      <c r="Y12">
        <v>0</v>
      </c>
      <c r="Z12">
        <v>0</v>
      </c>
      <c r="AA12" s="8">
        <v>0</v>
      </c>
      <c r="AB12" s="8">
        <v>0</v>
      </c>
      <c r="AC12" t="s">
        <v>35</v>
      </c>
      <c r="AD12" t="s">
        <v>35</v>
      </c>
      <c r="AE12" t="s">
        <v>35</v>
      </c>
      <c r="AF12">
        <v>0</v>
      </c>
      <c r="AG12">
        <v>0</v>
      </c>
      <c r="AH12" s="9">
        <v>46124</v>
      </c>
      <c r="AI12" s="3" t="s">
        <v>39</v>
      </c>
      <c r="AJ12" s="10">
        <f t="shared" si="0"/>
        <v>25038.72</v>
      </c>
    </row>
    <row r="13" outlineLevel="1" spans="1:36">
      <c r="A13">
        <v>12</v>
      </c>
      <c r="B13" t="s">
        <v>52</v>
      </c>
      <c r="C13" t="s">
        <v>53</v>
      </c>
      <c r="D13" t="s">
        <v>41</v>
      </c>
      <c r="E13">
        <v>29880370481</v>
      </c>
      <c r="F13" t="s">
        <v>35</v>
      </c>
      <c r="G13" t="s">
        <v>42</v>
      </c>
      <c r="H13" t="s">
        <v>37</v>
      </c>
      <c r="I13" s="7">
        <v>46097</v>
      </c>
      <c r="J13" s="7">
        <v>46124.0183564815</v>
      </c>
      <c r="K13">
        <v>72</v>
      </c>
      <c r="L13">
        <v>0</v>
      </c>
      <c r="M13" s="8">
        <v>0</v>
      </c>
      <c r="N13">
        <v>0</v>
      </c>
      <c r="O13">
        <v>0</v>
      </c>
      <c r="P13" s="8">
        <v>0</v>
      </c>
      <c r="Q13" s="8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 s="8">
        <v>0</v>
      </c>
      <c r="AB13" s="8">
        <v>0</v>
      </c>
      <c r="AC13" t="s">
        <v>35</v>
      </c>
      <c r="AD13" t="s">
        <v>35</v>
      </c>
      <c r="AE13" t="s">
        <v>35</v>
      </c>
      <c r="AF13">
        <v>0</v>
      </c>
      <c r="AG13">
        <v>0</v>
      </c>
      <c r="AH13" s="9">
        <v>46124</v>
      </c>
      <c r="AI13" s="3" t="s">
        <v>39</v>
      </c>
      <c r="AJ13" s="10">
        <f t="shared" si="0"/>
        <v>0</v>
      </c>
    </row>
    <row r="14" outlineLevel="1" spans="1:36">
      <c r="A14">
        <v>13</v>
      </c>
      <c r="B14" t="s">
        <v>54</v>
      </c>
      <c r="C14" t="s">
        <v>53</v>
      </c>
      <c r="D14" t="s">
        <v>41</v>
      </c>
      <c r="E14">
        <v>26879882339</v>
      </c>
      <c r="F14" t="s">
        <v>35</v>
      </c>
      <c r="G14" t="s">
        <v>42</v>
      </c>
      <c r="H14" t="s">
        <v>37</v>
      </c>
      <c r="I14" s="7">
        <v>45810</v>
      </c>
      <c r="J14" s="7">
        <v>46124.0183564815</v>
      </c>
      <c r="K14">
        <v>12</v>
      </c>
      <c r="L14">
        <v>0</v>
      </c>
      <c r="M14" s="8">
        <v>0</v>
      </c>
      <c r="N14">
        <v>0</v>
      </c>
      <c r="O14">
        <v>0</v>
      </c>
      <c r="P14" s="8">
        <v>0</v>
      </c>
      <c r="Q14" s="8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 s="8">
        <v>0</v>
      </c>
      <c r="AB14" s="8">
        <v>0</v>
      </c>
      <c r="AC14" t="s">
        <v>35</v>
      </c>
      <c r="AD14" t="s">
        <v>35</v>
      </c>
      <c r="AE14" t="s">
        <v>35</v>
      </c>
      <c r="AF14">
        <v>0</v>
      </c>
      <c r="AG14">
        <v>0</v>
      </c>
      <c r="AH14" s="9">
        <v>46124</v>
      </c>
      <c r="AI14" s="3" t="s">
        <v>39</v>
      </c>
      <c r="AJ14" s="10">
        <f t="shared" si="0"/>
        <v>0</v>
      </c>
    </row>
    <row r="15" outlineLevel="1" spans="1:36">
      <c r="A15">
        <v>14</v>
      </c>
      <c r="B15" t="s">
        <v>55</v>
      </c>
      <c r="C15" t="s">
        <v>34</v>
      </c>
      <c r="D15" t="s">
        <v>56</v>
      </c>
      <c r="E15" t="s">
        <v>35</v>
      </c>
      <c r="F15" t="s">
        <v>57</v>
      </c>
      <c r="G15" t="s">
        <v>58</v>
      </c>
      <c r="H15" t="s">
        <v>35</v>
      </c>
      <c r="I15" s="7">
        <v>45743</v>
      </c>
      <c r="J15" t="s">
        <v>38</v>
      </c>
      <c r="K15">
        <v>1933</v>
      </c>
      <c r="L15">
        <v>127</v>
      </c>
      <c r="M15" s="8">
        <v>0.0657</v>
      </c>
      <c r="N15">
        <v>10</v>
      </c>
      <c r="O15">
        <v>4</v>
      </c>
      <c r="P15" s="8">
        <v>0.0787</v>
      </c>
      <c r="Q15" s="8">
        <v>0.0315</v>
      </c>
      <c r="R15">
        <v>45569.1</v>
      </c>
      <c r="S15">
        <v>113922.75</v>
      </c>
      <c r="T15">
        <v>10</v>
      </c>
      <c r="U15">
        <v>4</v>
      </c>
      <c r="V15">
        <v>1214290</v>
      </c>
      <c r="W15">
        <v>1026110</v>
      </c>
      <c r="X15">
        <v>455691</v>
      </c>
      <c r="Y15">
        <v>2.66</v>
      </c>
      <c r="Z15">
        <v>2.25</v>
      </c>
      <c r="AA15" s="8">
        <v>0.3753</v>
      </c>
      <c r="AB15" s="8">
        <v>0.4441</v>
      </c>
      <c r="AC15">
        <v>10744</v>
      </c>
      <c r="AD15">
        <v>35</v>
      </c>
      <c r="AE15" s="8">
        <v>0.0033</v>
      </c>
      <c r="AF15">
        <v>0</v>
      </c>
      <c r="AG15">
        <v>0</v>
      </c>
      <c r="AH15" s="9">
        <v>46124</v>
      </c>
      <c r="AI15" s="3" t="s">
        <v>39</v>
      </c>
      <c r="AJ15" s="10">
        <f t="shared" si="0"/>
        <v>492146.28</v>
      </c>
    </row>
    <row r="17" outlineLevel="1"/>
    <row r="18" outlineLevel="1"/>
    <row r="19" outlineLevel="1"/>
    <row r="20" outlineLevel="1"/>
    <row r="21" outlineLevel="1"/>
    <row r="22" outlineLevel="1"/>
    <row r="23" outlineLevel="1"/>
    <row r="24" outlineLevel="1"/>
    <row r="25" outlineLevel="1"/>
    <row r="26" outlineLevel="1"/>
    <row r="27" outlineLevel="1"/>
    <row r="28" outlineLevel="1"/>
    <row r="29" outlineLevel="1"/>
    <row r="31" outlineLevel="1"/>
    <row r="32" outlineLevel="1"/>
    <row r="33" outlineLevel="1"/>
    <row r="34" outlineLevel="1"/>
    <row r="35" outlineLevel="1"/>
    <row r="36" outlineLevel="1"/>
    <row r="37" outlineLevel="1"/>
    <row r="38" outlineLevel="1"/>
    <row r="39" outlineLevel="1"/>
    <row r="40" outlineLevel="1"/>
    <row r="41" outlineLevel="1"/>
    <row r="42" outlineLevel="1"/>
    <row r="43" outlineLevel="1"/>
    <row r="44" outlineLevel="1"/>
    <row r="46" outlineLevel="1"/>
    <row r="47" outlineLevel="1"/>
    <row r="48" outlineLevel="1"/>
    <row r="49" outlineLevel="1"/>
    <row r="50" outlineLevel="1"/>
    <row r="51" outlineLevel="1"/>
    <row r="52" outlineLevel="1"/>
    <row r="53" outlineLevel="1"/>
    <row r="54" outlineLevel="1"/>
    <row r="55" outlineLevel="1"/>
    <row r="56" outlineLevel="1"/>
    <row r="57" outlineLevel="1"/>
    <row r="58" outlineLevel="1"/>
    <row r="60" outlineLevel="1"/>
    <row r="61" outlineLevel="1"/>
    <row r="62" outlineLevel="1"/>
    <row r="63" outlineLevel="1"/>
    <row r="64" outlineLevel="1"/>
    <row r="65" outlineLevel="1"/>
    <row r="66" outlineLevel="1"/>
    <row r="67" outlineLevel="1"/>
    <row r="68" outlineLevel="1"/>
    <row r="69" outlineLevel="1"/>
    <row r="70" outlineLevel="1"/>
    <row r="71" outlineLevel="1"/>
    <row r="72" outlineLevel="1"/>
    <row r="74" outlineLevel="1"/>
    <row r="75" outlineLevel="1"/>
    <row r="76" outlineLevel="1"/>
    <row r="77" outlineLevel="1"/>
    <row r="78" outlineLevel="1"/>
    <row r="79" outlineLevel="1"/>
    <row r="80" outlineLevel="1"/>
    <row r="81" outlineLevel="1"/>
    <row r="82" outlineLevel="1"/>
    <row r="83" outlineLevel="1"/>
    <row r="84" outlineLevel="1"/>
    <row r="85" outlineLevel="1"/>
    <row r="86" outlineLevel="1"/>
    <row r="87" outlineLevel="1"/>
    <row r="89" outlineLevel="1"/>
    <row r="90" outlineLevel="1"/>
    <row r="91" outlineLevel="1"/>
    <row r="92" outlineLevel="1"/>
    <row r="93" outlineLevel="1"/>
    <row r="94" outlineLevel="1"/>
    <row r="95" outlineLevel="1"/>
    <row r="96" outlineLevel="1"/>
    <row r="97" outlineLevel="1"/>
    <row r="98" outlineLevel="1"/>
    <row r="99" outlineLevel="1"/>
    <row r="100" outlineLevel="1"/>
    <row r="101" outlineLevel="1"/>
    <row r="102" outlineLevel="1"/>
    <row r="104" outlineLevel="1"/>
    <row r="105" outlineLevel="1"/>
    <row r="106" outlineLevel="1"/>
    <row r="107" outlineLevel="1"/>
    <row r="108" outlineLevel="1"/>
    <row r="109" outlineLevel="1"/>
    <row r="110" outlineLevel="1"/>
    <row r="111" outlineLevel="1"/>
    <row r="112" outlineLevel="1"/>
    <row r="113" outlineLevel="1"/>
    <row r="114" outlineLevel="1"/>
    <row r="115" outlineLevel="1"/>
    <row r="116" outlineLevel="1"/>
    <row r="118" outlineLevel="1"/>
    <row r="119" outlineLevel="1"/>
    <row r="120" outlineLevel="1"/>
    <row r="121" outlineLevel="1"/>
    <row r="122" outlineLevel="1"/>
    <row r="123" outlineLevel="1"/>
    <row r="124" outlineLevel="1"/>
    <row r="125" outlineLevel="1"/>
    <row r="126" outlineLevel="1"/>
    <row r="127" outlineLevel="1"/>
    <row r="128" outlineLevel="1"/>
    <row r="129" outlineLevel="1"/>
    <row r="130" outlineLevel="1"/>
    <row r="132" outlineLevel="1"/>
    <row r="133" outlineLevel="1"/>
    <row r="134" outlineLevel="1"/>
    <row r="135" outlineLevel="1"/>
    <row r="136" outlineLevel="1"/>
    <row r="137" outlineLevel="1"/>
    <row r="138" outlineLevel="1"/>
    <row r="139" outlineLevel="1"/>
    <row r="140" outlineLevel="1"/>
    <row r="141" outlineLevel="1"/>
    <row r="142" outlineLevel="1"/>
    <row r="143" outlineLevel="1"/>
    <row r="144" outlineLevel="1"/>
    <row r="146" outlineLevel="1"/>
    <row r="147" outlineLevel="1"/>
    <row r="148" outlineLevel="1"/>
    <row r="149" outlineLevel="1"/>
    <row r="150" outlineLevel="1"/>
    <row r="151" outlineLevel="1"/>
    <row r="152" outlineLevel="1"/>
    <row r="153" outlineLevel="1"/>
    <row r="154" outlineLevel="1"/>
    <row r="155" outlineLevel="1"/>
    <row r="156" outlineLevel="1"/>
    <row r="157" outlineLevel="1"/>
    <row r="158" outlineLevel="1"/>
    <row r="160" outlineLevel="1"/>
    <row r="161" outlineLevel="1"/>
    <row r="162" outlineLevel="1"/>
    <row r="163" outlineLevel="1"/>
    <row r="164" outlineLevel="1"/>
    <row r="165" outlineLevel="1"/>
    <row r="166" outlineLevel="1"/>
    <row r="167" outlineLevel="1"/>
    <row r="168" outlineLevel="1"/>
    <row r="169" outlineLevel="1"/>
    <row r="170" outlineLevel="1"/>
    <row r="171" outlineLevel="1"/>
    <row r="172" outlineLevel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3.Quảng cáo theo ngày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ADMIN</cp:lastModifiedBy>
  <dcterms:created xsi:type="dcterms:W3CDTF">2026-04-13T04:06:00Z</dcterms:created>
  <dcterms:modified xsi:type="dcterms:W3CDTF">2026-04-14T02:32:46Z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EFF4779F1C5841E6AE3B0FE244001627_12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